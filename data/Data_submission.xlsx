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B1787C-EBF6-4772-BDC4-E8B4059DF61F}" xr6:coauthVersionLast="47" xr6:coauthVersionMax="47" xr10:uidLastSave="{00000000-0000-0000-0000-000000000000}"/>
  <bookViews>
    <workbookView xWindow="-110" yWindow="-110" windowWidth="19420" windowHeight="10300" xr2:uid="{FD5C9576-60A9-41F0-94B0-2716329E0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G32" i="1"/>
  <c r="E32" i="1"/>
  <c r="C32" i="1"/>
  <c r="J31" i="1"/>
  <c r="G31" i="1"/>
  <c r="E31" i="1"/>
  <c r="C31" i="1"/>
  <c r="J30" i="1"/>
  <c r="G30" i="1"/>
  <c r="E30" i="1"/>
  <c r="C30" i="1"/>
  <c r="J29" i="1"/>
  <c r="G29" i="1"/>
  <c r="E29" i="1"/>
  <c r="C29" i="1"/>
  <c r="J28" i="1"/>
  <c r="G28" i="1"/>
  <c r="E28" i="1"/>
  <c r="C28" i="1"/>
  <c r="J27" i="1"/>
  <c r="G27" i="1"/>
  <c r="E27" i="1"/>
  <c r="C27" i="1"/>
  <c r="J26" i="1"/>
  <c r="G26" i="1"/>
  <c r="E26" i="1"/>
  <c r="C26" i="1"/>
  <c r="J25" i="1"/>
  <c r="G25" i="1"/>
  <c r="E25" i="1"/>
  <c r="C25" i="1"/>
  <c r="J24" i="1"/>
  <c r="G24" i="1"/>
  <c r="E24" i="1"/>
  <c r="C24" i="1"/>
  <c r="J23" i="1"/>
  <c r="G23" i="1"/>
  <c r="E23" i="1"/>
  <c r="C23" i="1"/>
  <c r="J22" i="1"/>
  <c r="G22" i="1"/>
  <c r="E22" i="1"/>
  <c r="C22" i="1"/>
  <c r="J21" i="1"/>
  <c r="G21" i="1"/>
  <c r="E21" i="1"/>
  <c r="C21" i="1"/>
  <c r="J20" i="1"/>
  <c r="G20" i="1"/>
  <c r="E20" i="1"/>
  <c r="C20" i="1"/>
  <c r="J19" i="1"/>
  <c r="G19" i="1"/>
  <c r="E19" i="1"/>
  <c r="C19" i="1"/>
  <c r="J18" i="1"/>
  <c r="G18" i="1"/>
  <c r="E18" i="1"/>
  <c r="C18" i="1"/>
  <c r="J17" i="1"/>
  <c r="G17" i="1"/>
  <c r="E17" i="1"/>
  <c r="C17" i="1"/>
  <c r="J16" i="1"/>
  <c r="G16" i="1"/>
  <c r="E16" i="1"/>
  <c r="C16" i="1"/>
  <c r="J15" i="1"/>
  <c r="G15" i="1"/>
  <c r="E15" i="1"/>
  <c r="C15" i="1"/>
  <c r="J14" i="1"/>
  <c r="G14" i="1"/>
  <c r="E14" i="1"/>
  <c r="C14" i="1"/>
  <c r="J13" i="1"/>
  <c r="G13" i="1"/>
  <c r="E13" i="1"/>
  <c r="C13" i="1"/>
  <c r="J12" i="1"/>
  <c r="G12" i="1"/>
  <c r="E12" i="1"/>
  <c r="C12" i="1"/>
  <c r="J11" i="1"/>
  <c r="G11" i="1"/>
  <c r="E11" i="1"/>
  <c r="C11" i="1"/>
  <c r="J10" i="1"/>
  <c r="G10" i="1"/>
  <c r="E10" i="1"/>
  <c r="C10" i="1"/>
  <c r="J9" i="1"/>
  <c r="G9" i="1"/>
  <c r="E9" i="1"/>
  <c r="C9" i="1"/>
  <c r="J8" i="1"/>
  <c r="G8" i="1"/>
  <c r="E8" i="1"/>
  <c r="C8" i="1"/>
  <c r="J7" i="1"/>
  <c r="G7" i="1"/>
  <c r="E7" i="1"/>
  <c r="C7" i="1"/>
  <c r="J6" i="1"/>
  <c r="G6" i="1"/>
  <c r="E6" i="1"/>
  <c r="C6" i="1"/>
  <c r="J5" i="1"/>
  <c r="G5" i="1"/>
  <c r="E5" i="1"/>
  <c r="C5" i="1"/>
  <c r="J4" i="1"/>
  <c r="G4" i="1"/>
  <c r="E4" i="1"/>
  <c r="C4" i="1"/>
  <c r="J3" i="1"/>
  <c r="G3" i="1"/>
  <c r="E3" i="1"/>
  <c r="C3" i="1"/>
  <c r="J2" i="1"/>
  <c r="G2" i="1"/>
  <c r="E2" i="1"/>
  <c r="C2" i="1"/>
</calcChain>
</file>

<file path=xl/sharedStrings.xml><?xml version="1.0" encoding="utf-8"?>
<sst xmlns="http://schemas.openxmlformats.org/spreadsheetml/2006/main" count="11" uniqueCount="11">
  <si>
    <t>Year</t>
  </si>
  <si>
    <t>US_import</t>
  </si>
  <si>
    <t>Ln(US_import)</t>
  </si>
  <si>
    <t>GDP_US_2021</t>
  </si>
  <si>
    <t>Ln(GDP_US)</t>
  </si>
  <si>
    <t>GDP_VN_2021</t>
  </si>
  <si>
    <t>Ln(GDP_VN)</t>
  </si>
  <si>
    <t>MFN_simple</t>
  </si>
  <si>
    <t>Distance</t>
  </si>
  <si>
    <t>Ln(Distance)</t>
  </si>
  <si>
    <t>BTA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</si>
</sst>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00_);_(* \(#,##0.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40404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1" applyNumberFormat="1" applyFont="1" applyFill="1" applyAlignment="1">
      <alignment vertical="center" wrapText="1"/>
    </xf>
    <xf numFmtId="165" fontId="2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43" fontId="2" fillId="0" borderId="0" xfId="1" applyFont="1"/>
    <xf numFmtId="0" fontId="2" fillId="0" borderId="0" xfId="0" applyFont="1" applyAlignment="1">
      <alignment horizontal="right"/>
    </xf>
    <xf numFmtId="164" fontId="2" fillId="0" borderId="0" xfId="1" applyNumberFormat="1" applyFont="1" applyFill="1"/>
    <xf numFmtId="164" fontId="2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63FB-4382-4861-A072-4BFD822E371B}">
  <dimension ref="A1:K34"/>
  <sheetViews>
    <sheetView tabSelected="1" workbookViewId="0">
      <selection activeCell="C10" sqref="C10"/>
    </sheetView>
  </sheetViews>
  <sheetFormatPr defaultRowHeight="14.5" x14ac:dyDescent="0.35"/>
  <cols>
    <col min="2" max="2" width="23" customWidth="1"/>
    <col min="3" max="3" width="20.1796875" customWidth="1"/>
    <col min="4" max="4" width="14.453125" bestFit="1" customWidth="1"/>
    <col min="5" max="5" width="13.54296875" customWidth="1"/>
    <col min="6" max="7" width="14.81640625" customWidth="1"/>
    <col min="8" max="8" width="18.1796875" customWidth="1"/>
    <col min="10" max="10" width="12.7265625" customWidth="1"/>
  </cols>
  <sheetData>
    <row r="1" spans="1:11" ht="19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5" x14ac:dyDescent="0.35">
      <c r="A2" s="3">
        <v>1994</v>
      </c>
      <c r="B2" s="4">
        <v>54614670</v>
      </c>
      <c r="C2" s="5">
        <f t="shared" ref="C2:C8" si="0">LN(B2)</f>
        <v>17.815813085945454</v>
      </c>
      <c r="D2" s="6">
        <v>46537.357146324204</v>
      </c>
      <c r="E2" s="5">
        <f t="shared" ref="E2:E8" si="1">LN(D2)</f>
        <v>10.748010648529723</v>
      </c>
      <c r="F2" s="6">
        <v>3089.6093372563064</v>
      </c>
      <c r="G2" s="5">
        <f t="shared" ref="G2:G8" si="2">LN(F2)</f>
        <v>8.0357999338266968</v>
      </c>
      <c r="H2" s="7">
        <v>6.45</v>
      </c>
      <c r="I2">
        <v>17058</v>
      </c>
      <c r="J2" s="5">
        <f t="shared" ref="J2:J8" si="3">LN(I2)</f>
        <v>9.7443745808790556</v>
      </c>
      <c r="K2">
        <v>0</v>
      </c>
    </row>
    <row r="3" spans="1:11" ht="15.5" x14ac:dyDescent="0.35">
      <c r="A3" s="8">
        <v>1995</v>
      </c>
      <c r="B3" s="4">
        <v>210019380</v>
      </c>
      <c r="C3" s="5">
        <f t="shared" si="0"/>
        <v>19.162710370137965</v>
      </c>
      <c r="D3" s="6">
        <v>47220.957960665393</v>
      </c>
      <c r="E3" s="5">
        <f t="shared" si="1"/>
        <v>10.762593097614268</v>
      </c>
      <c r="F3" s="6">
        <v>3328.214860395577</v>
      </c>
      <c r="G3" s="5">
        <f t="shared" si="2"/>
        <v>8.1101913612740404</v>
      </c>
      <c r="H3" s="7">
        <v>6.52</v>
      </c>
      <c r="I3">
        <v>17058</v>
      </c>
      <c r="J3" s="5">
        <f t="shared" si="3"/>
        <v>9.7443745808790556</v>
      </c>
      <c r="K3">
        <v>0</v>
      </c>
    </row>
    <row r="4" spans="1:11" ht="15.5" x14ac:dyDescent="0.35">
      <c r="A4" s="3">
        <v>1996</v>
      </c>
      <c r="B4" s="4">
        <v>341684510</v>
      </c>
      <c r="C4" s="5">
        <f t="shared" si="0"/>
        <v>19.649398383895271</v>
      </c>
      <c r="D4" s="6">
        <v>48435.700101909766</v>
      </c>
      <c r="E4" s="5">
        <f t="shared" si="1"/>
        <v>10.787992426218905</v>
      </c>
      <c r="F4" s="6">
        <v>3584.028983351468</v>
      </c>
      <c r="G4" s="5">
        <f t="shared" si="2"/>
        <v>8.1842428609347415</v>
      </c>
      <c r="H4" s="7">
        <v>6.56</v>
      </c>
      <c r="I4">
        <v>17058</v>
      </c>
      <c r="J4" s="5">
        <f t="shared" si="3"/>
        <v>9.7443745808790556</v>
      </c>
      <c r="K4">
        <v>0</v>
      </c>
    </row>
    <row r="5" spans="1:11" ht="15.5" x14ac:dyDescent="0.35">
      <c r="A5" s="8">
        <v>1997</v>
      </c>
      <c r="B5" s="4">
        <v>412600550</v>
      </c>
      <c r="C5" s="5">
        <f t="shared" si="0"/>
        <v>19.837990491610718</v>
      </c>
      <c r="D5" s="6">
        <v>49984.269650386908</v>
      </c>
      <c r="E5" s="5">
        <f t="shared" si="1"/>
        <v>10.819463627918859</v>
      </c>
      <c r="F5" s="6">
        <v>3820.3024948543389</v>
      </c>
      <c r="G5" s="5">
        <f t="shared" si="2"/>
        <v>8.2480848856001288</v>
      </c>
      <c r="H5" s="7">
        <v>6.14</v>
      </c>
      <c r="I5">
        <v>17058</v>
      </c>
      <c r="J5" s="5">
        <f t="shared" si="3"/>
        <v>9.7443745808790556</v>
      </c>
      <c r="K5">
        <v>0</v>
      </c>
    </row>
    <row r="6" spans="1:11" ht="15.5" x14ac:dyDescent="0.35">
      <c r="A6" s="3">
        <v>1998</v>
      </c>
      <c r="B6" s="4">
        <v>596040790</v>
      </c>
      <c r="C6" s="5">
        <f t="shared" si="0"/>
        <v>20.205819662285055</v>
      </c>
      <c r="D6" s="6">
        <v>51619.869834249286</v>
      </c>
      <c r="E6" s="5">
        <f t="shared" si="1"/>
        <v>10.851661951654728</v>
      </c>
      <c r="F6" s="6">
        <v>3982.9580596560331</v>
      </c>
      <c r="G6" s="5">
        <f t="shared" si="2"/>
        <v>8.2897800532884034</v>
      </c>
      <c r="H6" s="7">
        <v>6.01</v>
      </c>
      <c r="I6">
        <v>17058</v>
      </c>
      <c r="J6" s="5">
        <f t="shared" si="3"/>
        <v>9.7443745808790556</v>
      </c>
      <c r="K6">
        <v>0</v>
      </c>
    </row>
    <row r="7" spans="1:11" ht="15.5" x14ac:dyDescent="0.35">
      <c r="A7" s="8">
        <v>1999</v>
      </c>
      <c r="B7" s="4">
        <v>654818440</v>
      </c>
      <c r="C7" s="5">
        <f t="shared" si="0"/>
        <v>20.299868564335348</v>
      </c>
      <c r="D7" s="6">
        <v>53474.045429760066</v>
      </c>
      <c r="E7" s="5">
        <f t="shared" si="1"/>
        <v>10.886951683015404</v>
      </c>
      <c r="F7" s="6">
        <v>4119.0536720823093</v>
      </c>
      <c r="G7" s="5">
        <f t="shared" si="2"/>
        <v>8.3233787247183404</v>
      </c>
      <c r="H7" s="7">
        <v>5.89</v>
      </c>
      <c r="I7">
        <v>17058</v>
      </c>
      <c r="J7" s="5">
        <f t="shared" si="3"/>
        <v>9.7443745808790556</v>
      </c>
      <c r="K7">
        <v>0</v>
      </c>
    </row>
    <row r="8" spans="1:11" ht="15.5" x14ac:dyDescent="0.35">
      <c r="A8" s="3">
        <v>2000</v>
      </c>
      <c r="B8" s="4">
        <v>821430460</v>
      </c>
      <c r="C8" s="5">
        <f t="shared" si="0"/>
        <v>20.526557841828147</v>
      </c>
      <c r="D8" s="6">
        <v>55038.622496233598</v>
      </c>
      <c r="E8" s="5">
        <f t="shared" si="1"/>
        <v>10.9157904449727</v>
      </c>
      <c r="F8" s="6">
        <v>4349.2234875146223</v>
      </c>
      <c r="G8" s="5">
        <f t="shared" si="2"/>
        <v>8.3777525995308419</v>
      </c>
      <c r="H8" s="7">
        <v>5.88</v>
      </c>
      <c r="I8">
        <v>17058</v>
      </c>
      <c r="J8" s="5">
        <f t="shared" si="3"/>
        <v>9.7443745808790556</v>
      </c>
      <c r="K8">
        <v>0</v>
      </c>
    </row>
    <row r="9" spans="1:11" ht="15.5" x14ac:dyDescent="0.35">
      <c r="A9" s="8">
        <v>2001</v>
      </c>
      <c r="B9" s="9">
        <v>1052858980</v>
      </c>
      <c r="C9" s="5">
        <f>LN(B9)</f>
        <v>20.774775139002625</v>
      </c>
      <c r="D9" s="10">
        <v>55017.304977907625</v>
      </c>
      <c r="E9" s="5">
        <f>LN(D9)</f>
        <v>10.915403050689051</v>
      </c>
      <c r="F9" s="10">
        <v>4570.2684657738519</v>
      </c>
      <c r="G9" s="5">
        <f>LN(F9)</f>
        <v>8.4273272274087354</v>
      </c>
      <c r="H9" s="7">
        <v>6.21</v>
      </c>
      <c r="I9">
        <v>17058</v>
      </c>
      <c r="J9" s="5">
        <f>LN(I9)</f>
        <v>9.7443745808790556</v>
      </c>
      <c r="K9">
        <v>0</v>
      </c>
    </row>
    <row r="10" spans="1:11" ht="15.5" x14ac:dyDescent="0.35">
      <c r="A10" s="11">
        <v>2002</v>
      </c>
      <c r="B10" s="9">
        <v>2584729540</v>
      </c>
      <c r="C10" s="5">
        <f t="shared" ref="C10:C32" si="4">LN(B10)</f>
        <v>21.672886712740592</v>
      </c>
      <c r="D10" s="10">
        <v>55436.116979088983</v>
      </c>
      <c r="E10" s="5">
        <f t="shared" ref="E10:E32" si="5">LN(D10)</f>
        <v>10.922986591351142</v>
      </c>
      <c r="F10" s="10">
        <v>4809.6215111853498</v>
      </c>
      <c r="G10" s="5">
        <f t="shared" ref="G10:G32" si="6">LN(F10)</f>
        <v>8.4783736721004974</v>
      </c>
      <c r="H10" s="7">
        <v>5.97</v>
      </c>
      <c r="I10">
        <v>17058</v>
      </c>
      <c r="J10" s="5">
        <f t="shared" ref="J10:J32" si="7">LN(I10)</f>
        <v>9.7443745808790556</v>
      </c>
      <c r="K10">
        <v>1</v>
      </c>
    </row>
    <row r="11" spans="1:11" ht="15.5" x14ac:dyDescent="0.35">
      <c r="A11" s="11">
        <v>2003</v>
      </c>
      <c r="B11" s="9">
        <v>4909551800</v>
      </c>
      <c r="C11" s="5">
        <f t="shared" si="4"/>
        <v>22.314448491490563</v>
      </c>
      <c r="D11" s="10">
        <v>56498.207830632673</v>
      </c>
      <c r="E11" s="5">
        <f t="shared" si="5"/>
        <v>10.941964196819637</v>
      </c>
      <c r="F11" s="10">
        <v>5090.2899086988455</v>
      </c>
      <c r="G11" s="5">
        <f t="shared" si="6"/>
        <v>8.5350900644449741</v>
      </c>
      <c r="H11" s="7">
        <v>5.44</v>
      </c>
      <c r="I11">
        <v>17058</v>
      </c>
      <c r="J11" s="5">
        <f t="shared" si="7"/>
        <v>9.7443745808790556</v>
      </c>
      <c r="K11">
        <v>1</v>
      </c>
    </row>
    <row r="12" spans="1:11" ht="15.5" x14ac:dyDescent="0.35">
      <c r="A12" s="11">
        <v>2004</v>
      </c>
      <c r="B12" s="9">
        <v>5726298650</v>
      </c>
      <c r="C12" s="5">
        <f t="shared" si="4"/>
        <v>22.468335199090717</v>
      </c>
      <c r="D12" s="10">
        <v>58131.633682497602</v>
      </c>
      <c r="E12" s="5">
        <f t="shared" si="5"/>
        <v>10.970465264248494</v>
      </c>
      <c r="F12" s="10">
        <v>5421.0970282912149</v>
      </c>
      <c r="G12" s="5">
        <f t="shared" si="6"/>
        <v>8.5980534776965847</v>
      </c>
      <c r="H12" s="7">
        <v>5.0599999999999996</v>
      </c>
      <c r="I12">
        <v>17058</v>
      </c>
      <c r="J12" s="5">
        <f t="shared" si="7"/>
        <v>9.7443745808790556</v>
      </c>
      <c r="K12">
        <v>1</v>
      </c>
    </row>
    <row r="13" spans="1:11" ht="15.5" x14ac:dyDescent="0.35">
      <c r="A13" s="11">
        <v>2005</v>
      </c>
      <c r="B13" s="9">
        <v>7207720750</v>
      </c>
      <c r="C13" s="5">
        <f t="shared" si="4"/>
        <v>22.698418614826053</v>
      </c>
      <c r="D13" s="10">
        <v>59604.753635908281</v>
      </c>
      <c r="E13" s="5">
        <f t="shared" si="5"/>
        <v>10.995490608864612</v>
      </c>
      <c r="F13" s="10">
        <v>5776.3630445126792</v>
      </c>
      <c r="G13" s="5">
        <f t="shared" si="6"/>
        <v>8.6615295325643107</v>
      </c>
      <c r="H13" s="7">
        <v>4.84</v>
      </c>
      <c r="I13">
        <v>17046</v>
      </c>
      <c r="J13" s="5">
        <f t="shared" si="7"/>
        <v>9.7436708510822427</v>
      </c>
      <c r="K13">
        <v>1</v>
      </c>
    </row>
    <row r="14" spans="1:11" ht="15.5" x14ac:dyDescent="0.35">
      <c r="A14" s="11">
        <v>2006</v>
      </c>
      <c r="B14" s="9">
        <v>9265019930</v>
      </c>
      <c r="C14" s="5">
        <f t="shared" si="4"/>
        <v>22.949511847787736</v>
      </c>
      <c r="D14" s="10">
        <v>60676.565569185987</v>
      </c>
      <c r="E14" s="5">
        <f t="shared" si="5"/>
        <v>11.0133128328031</v>
      </c>
      <c r="F14" s="10">
        <v>6098.2449543651401</v>
      </c>
      <c r="G14" s="5">
        <f t="shared" si="6"/>
        <v>8.7157562963650932</v>
      </c>
      <c r="H14" s="7">
        <v>4.7</v>
      </c>
      <c r="I14">
        <v>17046</v>
      </c>
      <c r="J14" s="5">
        <f t="shared" si="7"/>
        <v>9.7436708510822427</v>
      </c>
      <c r="K14">
        <v>1</v>
      </c>
    </row>
    <row r="15" spans="1:11" ht="15.5" x14ac:dyDescent="0.35">
      <c r="A15" s="11">
        <v>2007</v>
      </c>
      <c r="B15" s="9">
        <v>11425322910</v>
      </c>
      <c r="C15" s="5">
        <f t="shared" si="4"/>
        <v>23.159098036784606</v>
      </c>
      <c r="D15" s="10">
        <v>61306.596938999668</v>
      </c>
      <c r="E15" s="5">
        <f t="shared" si="5"/>
        <v>11.023642733409668</v>
      </c>
      <c r="F15" s="10">
        <v>6418.5438140287797</v>
      </c>
      <c r="G15" s="5">
        <f t="shared" si="6"/>
        <v>8.7669465507116655</v>
      </c>
      <c r="H15" s="7">
        <v>4.54</v>
      </c>
      <c r="I15">
        <v>17046</v>
      </c>
      <c r="J15" s="5">
        <f t="shared" si="7"/>
        <v>9.7436708510822427</v>
      </c>
      <c r="K15">
        <v>1</v>
      </c>
    </row>
    <row r="16" spans="1:11" ht="15.5" x14ac:dyDescent="0.35">
      <c r="A16" s="11">
        <v>2008</v>
      </c>
      <c r="B16" s="9">
        <v>13853633480</v>
      </c>
      <c r="C16" s="5">
        <f t="shared" si="4"/>
        <v>23.351813380299646</v>
      </c>
      <c r="D16" s="10">
        <v>60798.433839538608</v>
      </c>
      <c r="E16" s="5">
        <f t="shared" si="5"/>
        <v>11.015319308404369</v>
      </c>
      <c r="F16" s="10">
        <v>6659.1356143206549</v>
      </c>
      <c r="G16" s="5">
        <f t="shared" si="6"/>
        <v>8.803744967471749</v>
      </c>
      <c r="H16" s="7">
        <v>4.71</v>
      </c>
      <c r="I16">
        <v>17046</v>
      </c>
      <c r="J16" s="5">
        <f t="shared" si="7"/>
        <v>9.7436708510822427</v>
      </c>
      <c r="K16">
        <v>1</v>
      </c>
    </row>
    <row r="17" spans="1:11" ht="15.5" x14ac:dyDescent="0.35">
      <c r="A17" s="11">
        <v>2009</v>
      </c>
      <c r="B17" s="9">
        <v>13038309110</v>
      </c>
      <c r="C17" s="5">
        <f t="shared" si="4"/>
        <v>23.291157715558576</v>
      </c>
      <c r="D17" s="10">
        <v>58714.973688161175</v>
      </c>
      <c r="E17" s="5">
        <f t="shared" si="5"/>
        <v>10.980450061671025</v>
      </c>
      <c r="F17" s="10">
        <v>6914.3386358954549</v>
      </c>
      <c r="G17" s="5">
        <f t="shared" si="6"/>
        <v>8.8413525975719409</v>
      </c>
      <c r="H17" s="7">
        <v>4.63</v>
      </c>
      <c r="I17">
        <v>17046</v>
      </c>
      <c r="J17" s="5">
        <f t="shared" si="7"/>
        <v>9.7436708510822427</v>
      </c>
      <c r="K17">
        <v>1</v>
      </c>
    </row>
    <row r="18" spans="1:11" ht="15.5" x14ac:dyDescent="0.35">
      <c r="A18" s="11">
        <v>2010</v>
      </c>
      <c r="B18" s="9">
        <v>15888133950</v>
      </c>
      <c r="C18" s="5">
        <f t="shared" si="4"/>
        <v>23.488838375104926</v>
      </c>
      <c r="D18" s="10">
        <v>59799.286862457251</v>
      </c>
      <c r="E18" s="5">
        <f t="shared" si="5"/>
        <v>10.998749014490647</v>
      </c>
      <c r="F18" s="10">
        <v>7274.7331069801576</v>
      </c>
      <c r="G18" s="5">
        <f t="shared" si="6"/>
        <v>8.8921624050409829</v>
      </c>
      <c r="H18" s="7">
        <v>4.54</v>
      </c>
      <c r="I18">
        <v>17035</v>
      </c>
      <c r="J18" s="5">
        <f t="shared" si="7"/>
        <v>9.7430253300950671</v>
      </c>
      <c r="K18">
        <v>1</v>
      </c>
    </row>
    <row r="19" spans="1:11" ht="15.5" x14ac:dyDescent="0.35">
      <c r="A19" s="11">
        <v>2011</v>
      </c>
      <c r="B19" s="9">
        <v>18456988140</v>
      </c>
      <c r="C19" s="5">
        <f t="shared" si="4"/>
        <v>23.638708896696727</v>
      </c>
      <c r="D19" s="10">
        <v>60294.978803065984</v>
      </c>
      <c r="E19" s="5">
        <f t="shared" si="5"/>
        <v>11.007004108983871</v>
      </c>
      <c r="F19" s="10">
        <v>7652.6189567227102</v>
      </c>
      <c r="G19" s="5">
        <f t="shared" si="6"/>
        <v>8.9428032155171362</v>
      </c>
      <c r="H19" s="7">
        <v>4.38</v>
      </c>
      <c r="I19">
        <v>17035</v>
      </c>
      <c r="J19" s="5">
        <f t="shared" si="7"/>
        <v>9.7430253300950671</v>
      </c>
      <c r="K19">
        <v>1</v>
      </c>
    </row>
    <row r="20" spans="1:11" ht="15.5" x14ac:dyDescent="0.35">
      <c r="A20" s="11">
        <v>2012</v>
      </c>
      <c r="B20" s="9">
        <v>21371334230</v>
      </c>
      <c r="C20" s="5">
        <f t="shared" si="4"/>
        <v>23.785316339050073</v>
      </c>
      <c r="D20" s="10">
        <v>61224.405542414002</v>
      </c>
      <c r="E20" s="5">
        <f t="shared" si="5"/>
        <v>11.022301172380239</v>
      </c>
      <c r="F20" s="10">
        <v>7979.8682892685847</v>
      </c>
      <c r="G20" s="5">
        <f t="shared" si="6"/>
        <v>8.9846771852034557</v>
      </c>
      <c r="H20" s="7">
        <v>4.2300000000000004</v>
      </c>
      <c r="I20">
        <v>17035</v>
      </c>
      <c r="J20" s="5">
        <f t="shared" si="7"/>
        <v>9.7430253300950671</v>
      </c>
      <c r="K20">
        <v>1</v>
      </c>
    </row>
    <row r="21" spans="1:11" ht="15.5" x14ac:dyDescent="0.35">
      <c r="A21" s="11">
        <v>2013</v>
      </c>
      <c r="B21" s="9">
        <v>25904256000</v>
      </c>
      <c r="C21" s="5">
        <f t="shared" si="4"/>
        <v>23.977673116476463</v>
      </c>
      <c r="D21" s="10">
        <v>62089.34823696089</v>
      </c>
      <c r="E21" s="5">
        <f t="shared" si="5"/>
        <v>11.036329727234444</v>
      </c>
      <c r="F21" s="10">
        <v>8324.1987125004689</v>
      </c>
      <c r="G21" s="5">
        <f t="shared" si="6"/>
        <v>9.0269220594655497</v>
      </c>
      <c r="H21" s="7">
        <v>4.13</v>
      </c>
      <c r="I21">
        <v>17035</v>
      </c>
      <c r="J21" s="5">
        <f t="shared" si="7"/>
        <v>9.7430253300950671</v>
      </c>
      <c r="K21">
        <v>1</v>
      </c>
    </row>
    <row r="22" spans="1:11" ht="15.5" x14ac:dyDescent="0.35">
      <c r="A22" s="11">
        <v>2014</v>
      </c>
      <c r="B22" s="9">
        <v>32011177840</v>
      </c>
      <c r="C22" s="5">
        <f t="shared" si="4"/>
        <v>24.189350986252474</v>
      </c>
      <c r="D22" s="10">
        <v>63191.247780592726</v>
      </c>
      <c r="E22" s="5">
        <f t="shared" si="5"/>
        <v>11.053921086060795</v>
      </c>
      <c r="F22" s="10">
        <v>8751.8828063437486</v>
      </c>
      <c r="G22" s="5">
        <f t="shared" si="6"/>
        <v>9.0770241340720794</v>
      </c>
      <c r="H22" s="7">
        <v>4.01</v>
      </c>
      <c r="I22">
        <v>17035</v>
      </c>
      <c r="J22" s="5">
        <f t="shared" si="7"/>
        <v>9.7430253300950671</v>
      </c>
      <c r="K22">
        <v>1</v>
      </c>
    </row>
    <row r="23" spans="1:11" ht="15.5" x14ac:dyDescent="0.35">
      <c r="A23" s="11">
        <v>2015</v>
      </c>
      <c r="B23" s="9">
        <v>39692685560</v>
      </c>
      <c r="C23" s="5">
        <f t="shared" si="4"/>
        <v>24.404432764843605</v>
      </c>
      <c r="D23" s="10">
        <v>64575.408186904329</v>
      </c>
      <c r="E23" s="5">
        <f t="shared" si="5"/>
        <v>11.07558893907305</v>
      </c>
      <c r="F23" s="10">
        <v>9248.0239606962223</v>
      </c>
      <c r="G23" s="5">
        <f t="shared" si="6"/>
        <v>9.1321651818145355</v>
      </c>
      <c r="H23" s="7">
        <v>4.01</v>
      </c>
      <c r="I23">
        <v>17023</v>
      </c>
      <c r="J23" s="5">
        <f t="shared" si="7"/>
        <v>9.7423206498145714</v>
      </c>
      <c r="K23">
        <v>1</v>
      </c>
    </row>
    <row r="24" spans="1:11" ht="15.5" x14ac:dyDescent="0.35">
      <c r="A24" s="11">
        <v>2016</v>
      </c>
      <c r="B24" s="9">
        <v>43747875470</v>
      </c>
      <c r="C24" s="5">
        <f t="shared" si="4"/>
        <v>24.501708887885211</v>
      </c>
      <c r="D24" s="10">
        <v>65275.571817859869</v>
      </c>
      <c r="E24" s="5">
        <f t="shared" si="5"/>
        <v>11.086373153664692</v>
      </c>
      <c r="F24" s="10">
        <v>9743.1882231455038</v>
      </c>
      <c r="G24" s="5">
        <f t="shared" si="6"/>
        <v>9.1843236760466489</v>
      </c>
      <c r="H24" s="7">
        <v>3.98</v>
      </c>
      <c r="I24">
        <v>17023</v>
      </c>
      <c r="J24" s="5">
        <f t="shared" si="7"/>
        <v>9.7423206498145714</v>
      </c>
      <c r="K24">
        <v>1</v>
      </c>
    </row>
    <row r="25" spans="1:11" ht="15.5" x14ac:dyDescent="0.35">
      <c r="A25" s="11">
        <v>2017</v>
      </c>
      <c r="B25" s="9">
        <v>48421110340</v>
      </c>
      <c r="C25" s="5">
        <f t="shared" si="4"/>
        <v>24.603201719626693</v>
      </c>
      <c r="D25" s="10">
        <v>66458.02337349634</v>
      </c>
      <c r="E25" s="5">
        <f t="shared" si="5"/>
        <v>11.104325799869791</v>
      </c>
      <c r="F25" s="10">
        <v>10290.54871422442</v>
      </c>
      <c r="G25" s="5">
        <f t="shared" si="6"/>
        <v>9.2389811524038823</v>
      </c>
      <c r="H25" s="7">
        <v>5.23</v>
      </c>
      <c r="I25">
        <v>17023</v>
      </c>
      <c r="J25" s="5">
        <f t="shared" si="7"/>
        <v>9.7423206498145714</v>
      </c>
      <c r="K25">
        <v>1</v>
      </c>
    </row>
    <row r="26" spans="1:11" ht="15.5" x14ac:dyDescent="0.35">
      <c r="A26" s="11">
        <v>2018</v>
      </c>
      <c r="B26" s="9">
        <v>51277489490</v>
      </c>
      <c r="C26" s="5">
        <f t="shared" si="4"/>
        <v>24.66051769145712</v>
      </c>
      <c r="D26" s="10">
        <v>68070.21342181103</v>
      </c>
      <c r="E26" s="5">
        <f t="shared" si="5"/>
        <v>11.128295001765583</v>
      </c>
      <c r="F26" s="10">
        <v>10936.893785955768</v>
      </c>
      <c r="G26" s="5">
        <f t="shared" si="6"/>
        <v>9.2998971038457885</v>
      </c>
      <c r="H26" s="7">
        <v>5.34</v>
      </c>
      <c r="I26">
        <v>17023</v>
      </c>
      <c r="J26" s="5">
        <f t="shared" si="7"/>
        <v>9.7423206498145714</v>
      </c>
      <c r="K26">
        <v>1</v>
      </c>
    </row>
    <row r="27" spans="1:11" ht="15.5" x14ac:dyDescent="0.35">
      <c r="A27" s="11">
        <v>2019</v>
      </c>
      <c r="B27" s="9">
        <v>69385153230</v>
      </c>
      <c r="C27" s="5">
        <f t="shared" si="4"/>
        <v>24.962938751169339</v>
      </c>
      <c r="D27" s="10">
        <v>69511.76344090671</v>
      </c>
      <c r="E27" s="5">
        <f t="shared" si="5"/>
        <v>11.149251275372883</v>
      </c>
      <c r="F27" s="10">
        <v>11628.613914745056</v>
      </c>
      <c r="G27" s="5">
        <f t="shared" si="6"/>
        <v>9.3612240565307978</v>
      </c>
      <c r="H27" s="7">
        <v>3.86</v>
      </c>
      <c r="I27">
        <v>17023</v>
      </c>
      <c r="J27" s="5">
        <f t="shared" si="7"/>
        <v>9.7423206498145714</v>
      </c>
      <c r="K27">
        <v>1</v>
      </c>
    </row>
    <row r="28" spans="1:11" ht="15.5" x14ac:dyDescent="0.35">
      <c r="A28" s="11">
        <v>2020</v>
      </c>
      <c r="B28" s="9">
        <v>83211920320</v>
      </c>
      <c r="C28" s="5">
        <f t="shared" si="4"/>
        <v>25.144656447587892</v>
      </c>
      <c r="D28" s="10">
        <v>67352.387139280137</v>
      </c>
      <c r="E28" s="5">
        <f t="shared" si="5"/>
        <v>11.117693625000745</v>
      </c>
      <c r="F28" s="10">
        <v>11851.396568564898</v>
      </c>
      <c r="G28" s="5">
        <f t="shared" si="6"/>
        <v>9.3802009935063868</v>
      </c>
      <c r="H28" s="7">
        <v>3.78</v>
      </c>
      <c r="I28">
        <v>17013</v>
      </c>
      <c r="J28" s="5">
        <f t="shared" si="7"/>
        <v>9.7417330366821382</v>
      </c>
      <c r="K28">
        <v>1</v>
      </c>
    </row>
    <row r="29" spans="1:11" ht="15.5" x14ac:dyDescent="0.35">
      <c r="A29" s="11">
        <v>2021</v>
      </c>
      <c r="B29" s="9">
        <v>108195516670</v>
      </c>
      <c r="C29" s="5">
        <f t="shared" si="4"/>
        <v>25.407205766918061</v>
      </c>
      <c r="D29" s="10">
        <v>71318.307359218277</v>
      </c>
      <c r="E29" s="5">
        <f t="shared" si="5"/>
        <v>11.174908338650271</v>
      </c>
      <c r="F29" s="10">
        <v>12048.901993553598</v>
      </c>
      <c r="G29" s="5">
        <f t="shared" si="6"/>
        <v>9.3967288139001219</v>
      </c>
      <c r="H29" s="7">
        <v>3.79</v>
      </c>
      <c r="I29">
        <v>17013</v>
      </c>
      <c r="J29" s="5">
        <f t="shared" si="7"/>
        <v>9.7417330366821382</v>
      </c>
      <c r="K29">
        <v>1</v>
      </c>
    </row>
    <row r="30" spans="1:11" ht="15.5" x14ac:dyDescent="0.35">
      <c r="A30" s="11">
        <v>2022</v>
      </c>
      <c r="B30" s="9">
        <v>135876540950</v>
      </c>
      <c r="C30" s="5">
        <f t="shared" si="4"/>
        <v>25.635012523261839</v>
      </c>
      <c r="D30" s="10">
        <v>72841.924312708201</v>
      </c>
      <c r="E30" s="5">
        <f t="shared" si="5"/>
        <v>11.196046951843879</v>
      </c>
      <c r="F30" s="10">
        <v>12930.256218568686</v>
      </c>
      <c r="G30" s="5">
        <f t="shared" si="6"/>
        <v>9.4673252873908158</v>
      </c>
      <c r="H30" s="7">
        <v>3.7</v>
      </c>
      <c r="I30">
        <v>17013</v>
      </c>
      <c r="J30" s="5">
        <f t="shared" si="7"/>
        <v>9.7417330366821382</v>
      </c>
      <c r="K30">
        <v>1</v>
      </c>
    </row>
    <row r="31" spans="1:11" ht="15.5" x14ac:dyDescent="0.35">
      <c r="A31" s="11">
        <v>2023</v>
      </c>
      <c r="B31" s="9">
        <v>136600000000</v>
      </c>
      <c r="C31" s="5">
        <f t="shared" si="4"/>
        <v>25.6403227840831</v>
      </c>
      <c r="D31" s="10">
        <v>74577.506539672293</v>
      </c>
      <c r="E31" s="5">
        <f t="shared" si="5"/>
        <v>11.219594219809361</v>
      </c>
      <c r="F31" s="10">
        <v>13491.879417397029</v>
      </c>
      <c r="G31" s="5">
        <f t="shared" si="6"/>
        <v>9.5098432588007356</v>
      </c>
      <c r="H31" s="7">
        <v>3.73</v>
      </c>
      <c r="I31">
        <v>17013</v>
      </c>
      <c r="J31" s="5">
        <f t="shared" si="7"/>
        <v>9.7417330366821382</v>
      </c>
      <c r="K31">
        <v>1</v>
      </c>
    </row>
    <row r="32" spans="1:11" ht="15.5" x14ac:dyDescent="0.35">
      <c r="A32" s="11">
        <v>2024</v>
      </c>
      <c r="B32" s="9">
        <v>142480000000</v>
      </c>
      <c r="C32" s="5">
        <f t="shared" si="4"/>
        <v>25.682467475927819</v>
      </c>
      <c r="D32" s="10">
        <v>75052</v>
      </c>
      <c r="E32" s="5">
        <f t="shared" si="5"/>
        <v>11.225936485607265</v>
      </c>
      <c r="F32" s="10">
        <v>13575</v>
      </c>
      <c r="G32" s="5">
        <f t="shared" si="6"/>
        <v>9.5159851448021353</v>
      </c>
      <c r="H32" s="7">
        <v>3.71</v>
      </c>
      <c r="I32">
        <v>17013</v>
      </c>
      <c r="J32" s="5">
        <f t="shared" si="7"/>
        <v>9.7417330366821382</v>
      </c>
      <c r="K32">
        <v>1</v>
      </c>
    </row>
    <row r="34" spans="2:2" ht="15.5" x14ac:dyDescent="0.35">
      <c r="B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2025-05-03T11:43:54Z</dcterms:created>
  <dcterms:modified xsi:type="dcterms:W3CDTF">2025-05-03T12:09:23Z</dcterms:modified>
</cp:coreProperties>
</file>